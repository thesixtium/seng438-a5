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z\Desktop\Important\School\University\0.20 Winter 2026\SENG 438\Assignment 5\"/>
    </mc:Choice>
  </mc:AlternateContent>
  <xr:revisionPtr revIDLastSave="0" documentId="13_ncr:1_{03D1790E-BDE2-480C-9198-E22349F38603}" xr6:coauthVersionLast="47" xr6:coauthVersionMax="47" xr10:uidLastSave="{00000000-0000-0000-0000-000000000000}"/>
  <bookViews>
    <workbookView xWindow="-110" yWindow="-110" windowWidth="25820" windowHeight="15500" activeTab="2" xr2:uid="{B1D9D26E-DF22-4B59-8BBA-11AA24CC0345}"/>
  </bookViews>
  <sheets>
    <sheet name="DRAFT" sheetId="1" r:id="rId1"/>
    <sheet name="FORMATTED DATA" sheetId="2" r:id="rId2"/>
    <sheet name="RD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3" l="1"/>
  <c r="L9" i="3"/>
  <c r="L8" i="3"/>
  <c r="L7" i="3"/>
  <c r="L6" i="3"/>
  <c r="L5" i="3"/>
  <c r="L4" i="3"/>
  <c r="L3" i="3"/>
  <c r="L2" i="3"/>
  <c r="K3" i="3"/>
  <c r="K4" i="3"/>
  <c r="K5" i="3"/>
  <c r="K6" i="3"/>
  <c r="K7" i="3"/>
  <c r="K8" i="3"/>
  <c r="K9" i="3"/>
  <c r="K10" i="3"/>
  <c r="K2" i="3"/>
  <c r="J3" i="3"/>
  <c r="J4" i="3"/>
  <c r="J5" i="3"/>
  <c r="J6" i="3"/>
  <c r="J7" i="3"/>
  <c r="J8" i="3"/>
  <c r="J9" i="3"/>
  <c r="J10" i="3"/>
  <c r="J2" i="3"/>
  <c r="E28" i="3"/>
  <c r="I3" i="3"/>
  <c r="I4" i="3"/>
  <c r="I5" i="3"/>
  <c r="I6" i="3"/>
  <c r="I7" i="3"/>
  <c r="I8" i="3"/>
  <c r="I9" i="3"/>
  <c r="I10" i="3"/>
  <c r="I2" i="3"/>
  <c r="H3" i="3"/>
  <c r="H4" i="3"/>
  <c r="H5" i="3"/>
  <c r="H6" i="3"/>
  <c r="H7" i="3"/>
  <c r="H8" i="3"/>
  <c r="H9" i="3"/>
  <c r="H10" i="3"/>
  <c r="H2" i="3"/>
  <c r="C25" i="3"/>
  <c r="F25" i="3" s="1"/>
  <c r="C24" i="3"/>
  <c r="F24" i="3" s="1"/>
  <c r="C23" i="3"/>
  <c r="F23" i="3" s="1"/>
  <c r="C22" i="3"/>
  <c r="F22" i="3" s="1"/>
  <c r="C21" i="3"/>
  <c r="F21" i="3" s="1"/>
  <c r="C20" i="3"/>
  <c r="F20" i="3" s="1"/>
  <c r="C19" i="3"/>
  <c r="F19" i="3" s="1"/>
  <c r="C18" i="3"/>
  <c r="F18" i="3" s="1"/>
  <c r="C17" i="3"/>
  <c r="F17" i="3" s="1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D4" i="1"/>
  <c r="E3" i="1"/>
  <c r="E4" i="1"/>
  <c r="D5" i="1" s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19" i="1" s="1"/>
  <c r="E19" i="1" s="1"/>
  <c r="D20" i="1" s="1"/>
  <c r="E20" i="1" s="1"/>
  <c r="D3" i="1"/>
  <c r="E2" i="1"/>
  <c r="E17" i="3" l="1"/>
</calcChain>
</file>

<file path=xl/sharedStrings.xml><?xml version="1.0" encoding="utf-8"?>
<sst xmlns="http://schemas.openxmlformats.org/spreadsheetml/2006/main" count="41" uniqueCount="21">
  <si>
    <t>Failure Number</t>
  </si>
  <si>
    <t>Failure Time (seconds)</t>
  </si>
  <si>
    <t>s</t>
  </si>
  <si>
    <t># of failures</t>
  </si>
  <si>
    <t>Time Intervals (split by each minute)</t>
  </si>
  <si>
    <t>T</t>
  </si>
  <si>
    <t>FC</t>
  </si>
  <si>
    <t>E</t>
  </si>
  <si>
    <t>F</t>
  </si>
  <si>
    <t>C</t>
  </si>
  <si>
    <t>*All effort variables (E, F, C) are assumptions because no data was provided</t>
  </si>
  <si>
    <t>Time between failues</t>
  </si>
  <si>
    <t>MTTF</t>
  </si>
  <si>
    <t>Failure intensity</t>
  </si>
  <si>
    <t>Failure number</t>
  </si>
  <si>
    <t>Failure Time</t>
  </si>
  <si>
    <t>Plot 2 (double)</t>
  </si>
  <si>
    <t>Plot 3 (Half)</t>
  </si>
  <si>
    <t>Plot 1 (Normal)</t>
  </si>
  <si>
    <t>MTTF (min)</t>
  </si>
  <si>
    <t>*All data points converted into minutes to keep graph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</si>
</sst>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3" fillId="4" borderId="4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4" xfId="0" applyFont="1" applyFill="1" applyBorder="1" applyAlignment="1">
      <alignment horizontal="center" vertical="center" wrapText="1"/>
    </xf>
    <xf numFmtId="0" fontId="0" fillId="5" borderId="0" xfId="0" applyFill="1"/>
    <xf numFmtId="0" fontId="3" fillId="6" borderId="4" xfId="0" applyFont="1" applyFill="1" applyBorder="1" applyAlignment="1">
      <alignment horizontal="center" vertical="center" wrapText="1"/>
    </xf>
    <xf numFmtId="0" fontId="0" fillId="6" borderId="0" xfId="0" applyFill="1"/>
    <xf numFmtId="0" fontId="3" fillId="7" borderId="4" xfId="0" applyFont="1" applyFill="1" applyBorder="1" applyAlignment="1">
      <alignment horizontal="center" vertical="center" wrapText="1"/>
    </xf>
    <xf numFmtId="0" fontId="0" fillId="7" borderId="0" xfId="0" applyFill="1"/>
    <xf numFmtId="0" fontId="3" fillId="8" borderId="4" xfId="0" applyFont="1" applyFill="1" applyBorder="1" applyAlignment="1">
      <alignment horizontal="center" vertical="center" wrapText="1"/>
    </xf>
    <xf numFmtId="0" fontId="0" fillId="8" borderId="0" xfId="0" applyFill="1"/>
    <xf numFmtId="0" fontId="3" fillId="9" borderId="4" xfId="0" applyFont="1" applyFill="1" applyBorder="1" applyAlignment="1">
      <alignment horizontal="center" vertical="center" wrapText="1"/>
    </xf>
    <xf numFmtId="0" fontId="0" fillId="9" borderId="0" xfId="0" applyFill="1"/>
    <xf numFmtId="0" fontId="3" fillId="10" borderId="4" xfId="0" applyFont="1" applyFill="1" applyBorder="1" applyAlignment="1">
      <alignment horizontal="center" vertical="center" wrapText="1"/>
    </xf>
    <xf numFmtId="0" fontId="0" fillId="10" borderId="0" xfId="0" applyFill="1"/>
    <xf numFmtId="0" fontId="3" fillId="11" borderId="4" xfId="0" applyFont="1" applyFill="1" applyBorder="1" applyAlignment="1">
      <alignment horizontal="center" vertical="center" wrapText="1"/>
    </xf>
    <xf numFmtId="0" fontId="0" fillId="11" borderId="0" xfId="0" applyFill="1"/>
    <xf numFmtId="0" fontId="3" fillId="12" borderId="4" xfId="0" applyFont="1" applyFill="1" applyBorder="1" applyAlignment="1">
      <alignment horizontal="center" vertical="center" wrapText="1"/>
    </xf>
    <xf numFmtId="0" fontId="0" fillId="12" borderId="0" xfId="0" applyFill="1"/>
    <xf numFmtId="0" fontId="3" fillId="13" borderId="4" xfId="0" applyFont="1" applyFill="1" applyBorder="1" applyAlignment="1">
      <alignment horizontal="center" vertical="center" wrapText="1"/>
    </xf>
    <xf numFmtId="0" fontId="0" fillId="13" borderId="0" xfId="0" applyFill="1"/>
    <xf numFmtId="0" fontId="3" fillId="14" borderId="4" xfId="0" applyFont="1" applyFill="1" applyBorder="1" applyAlignment="1">
      <alignment horizontal="center" vertical="center" wrapText="1"/>
    </xf>
    <xf numFmtId="0" fontId="0" fillId="14" borderId="0" xfId="0" applyFill="1"/>
    <xf numFmtId="0" fontId="3" fillId="15" borderId="4" xfId="0" applyFont="1" applyFill="1" applyBorder="1" applyAlignment="1">
      <alignment horizontal="center" vertical="center" wrapText="1"/>
    </xf>
    <xf numFmtId="0" fontId="0" fillId="15" borderId="0" xfId="0" applyFill="1"/>
    <xf numFmtId="0" fontId="3" fillId="16" borderId="4" xfId="0" applyFont="1" applyFill="1" applyBorder="1" applyAlignment="1">
      <alignment horizontal="center" vertical="center" wrapText="1"/>
    </xf>
    <xf numFmtId="0" fontId="0" fillId="16" borderId="0" xfId="0" applyFill="1"/>
    <xf numFmtId="0" fontId="4" fillId="0" borderId="9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0" borderId="0" xfId="0" applyFont="1"/>
    <xf numFmtId="0" fontId="1" fillId="0" borderId="0" xfId="0" applyFont="1" applyAlignment="1">
      <alignment horizontal="center" wrapText="1"/>
    </xf>
    <xf numFmtId="1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MTTF</a:t>
            </a:r>
            <a:r>
              <a:rPr lang="en-CA" baseline="0"/>
              <a:t> Minimum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RDC!$J$2:$J$10</c:f>
              <c:numCache>
                <c:formatCode>0</c:formatCode>
                <c:ptCount val="9"/>
                <c:pt idx="0">
                  <c:v>3684</c:v>
                </c:pt>
                <c:pt idx="1">
                  <c:v>3864</c:v>
                </c:pt>
                <c:pt idx="2">
                  <c:v>3918</c:v>
                </c:pt>
                <c:pt idx="3">
                  <c:v>4020</c:v>
                </c:pt>
                <c:pt idx="4">
                  <c:v>4350</c:v>
                </c:pt>
                <c:pt idx="5">
                  <c:v>4554</c:v>
                </c:pt>
                <c:pt idx="6">
                  <c:v>4896</c:v>
                </c:pt>
                <c:pt idx="7">
                  <c:v>5118</c:v>
                </c:pt>
                <c:pt idx="8">
                  <c:v>5418</c:v>
                </c:pt>
              </c:numCache>
            </c:numRef>
          </c:xVal>
          <c:yVal>
            <c:numRef>
              <c:f>RDC!$H$2:$H$10</c:f>
              <c:numCache>
                <c:formatCode>General</c:formatCode>
                <c:ptCount val="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58F-4697-B755-E4D0625E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04032"/>
        <c:axId val="1470505952"/>
      </c:scatterChart>
      <c:valAx>
        <c:axId val="14705040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5952"/>
        <c:crosses val="autoZero"/>
        <c:crossBetween val="midCat"/>
      </c:valAx>
      <c:valAx>
        <c:axId val="14705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MTTF - Double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RDC!$K$2:$K$10</c:f>
              <c:numCache>
                <c:formatCode>0</c:formatCode>
                <c:ptCount val="9"/>
                <c:pt idx="0">
                  <c:v>1842</c:v>
                </c:pt>
                <c:pt idx="1">
                  <c:v>1932</c:v>
                </c:pt>
                <c:pt idx="2">
                  <c:v>1959</c:v>
                </c:pt>
                <c:pt idx="3">
                  <c:v>2010</c:v>
                </c:pt>
                <c:pt idx="4">
                  <c:v>2175</c:v>
                </c:pt>
                <c:pt idx="5">
                  <c:v>2277</c:v>
                </c:pt>
                <c:pt idx="6">
                  <c:v>2448</c:v>
                </c:pt>
                <c:pt idx="7">
                  <c:v>2559</c:v>
                </c:pt>
                <c:pt idx="8">
                  <c:v>2709</c:v>
                </c:pt>
              </c:numCache>
            </c:numRef>
          </c:xVal>
          <c:yVal>
            <c:numRef>
              <c:f>RDC!$H$2:$H$10</c:f>
              <c:numCache>
                <c:formatCode>General</c:formatCode>
                <c:ptCount val="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6D-4352-A950-0C854EB6C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04032"/>
        <c:axId val="1470505952"/>
      </c:scatterChart>
      <c:valAx>
        <c:axId val="14705040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5952"/>
        <c:crosses val="autoZero"/>
        <c:crossBetween val="midCat"/>
      </c:valAx>
      <c:valAx>
        <c:axId val="14705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MTTF - Half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RDC!$L$2:$L$10</c:f>
              <c:numCache>
                <c:formatCode>0</c:formatCode>
                <c:ptCount val="9"/>
                <c:pt idx="0">
                  <c:v>7368</c:v>
                </c:pt>
                <c:pt idx="1">
                  <c:v>7728</c:v>
                </c:pt>
                <c:pt idx="2">
                  <c:v>7836</c:v>
                </c:pt>
                <c:pt idx="3">
                  <c:v>8040</c:v>
                </c:pt>
                <c:pt idx="4">
                  <c:v>8700</c:v>
                </c:pt>
                <c:pt idx="5">
                  <c:v>9108</c:v>
                </c:pt>
                <c:pt idx="6">
                  <c:v>9792</c:v>
                </c:pt>
                <c:pt idx="7">
                  <c:v>10236</c:v>
                </c:pt>
                <c:pt idx="8">
                  <c:v>10836</c:v>
                </c:pt>
              </c:numCache>
            </c:numRef>
          </c:xVal>
          <c:yVal>
            <c:numRef>
              <c:f>RDC!$H$2:$H$10</c:f>
              <c:numCache>
                <c:formatCode>General</c:formatCode>
                <c:ptCount val="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1F-425B-84FE-726BFEC18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04032"/>
        <c:axId val="1470505952"/>
      </c:scatterChart>
      <c:valAx>
        <c:axId val="14705040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5952"/>
        <c:crosses val="autoZero"/>
        <c:crossBetween val="midCat"/>
      </c:valAx>
      <c:valAx>
        <c:axId val="14705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193675</xdr:colOff>
      <xdr:row>12</xdr:row>
      <xdr:rowOff>47625</xdr:rowOff>
    </xdr:from>
    <xdr:to>
      <xdr:col>13</xdr:col>
      <xdr:colOff>9525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B97492-629B-5A46-40E7-B11205551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355600</xdr:colOff>
      <xdr:row>12</xdr:row>
      <xdr:rowOff>38100</xdr:rowOff>
    </xdr:from>
    <xdr:to>
      <xdr:col>21</xdr:col>
      <xdr:colOff>50800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0FB19D-C1B1-452E-B47B-8B25F3A56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165100</xdr:colOff>
      <xdr:row>28</xdr:row>
      <xdr:rowOff>57150</xdr:rowOff>
    </xdr:from>
    <xdr:to>
      <xdr:col>12</xdr:col>
      <xdr:colOff>590550</xdr:colOff>
      <xdr:row>43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8953C6-AA1C-4655-98AC-1DBD15054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A1E4-F84D-4224-BD8F-2E2985B96B07}">
  <dimension ref="A1:G25"/>
  <sheetViews>
    <sheetView workbookViewId="0">
      <selection activeCell="B17" sqref="B17"/>
    </sheetView>
  </sheetViews>
  <sheetFormatPr defaultRowHeight="14.5" x14ac:dyDescent="0.35"/>
  <cols>
    <col min="1" max="1" width="20.453125" customWidth="1"/>
    <col min="2" max="2" width="24.1796875" customWidth="1"/>
    <col min="7" max="7" width="13.36328125" customWidth="1"/>
  </cols>
  <sheetData>
    <row r="1" spans="1:7" ht="37.5" customHeight="1" thickBot="1" x14ac:dyDescent="0.4">
      <c r="A1" s="1" t="s">
        <v>0</v>
      </c>
      <c r="B1" s="2" t="s">
        <v>1</v>
      </c>
      <c r="D1" s="46" t="s">
        <v>4</v>
      </c>
      <c r="E1" s="46"/>
      <c r="F1" s="46"/>
      <c r="G1" s="4" t="s">
        <v>3</v>
      </c>
    </row>
    <row r="2" spans="1:7" ht="16" thickBot="1" x14ac:dyDescent="0.4">
      <c r="A2" s="3">
        <v>1</v>
      </c>
      <c r="B2" s="6">
        <v>28</v>
      </c>
      <c r="D2">
        <v>0</v>
      </c>
      <c r="E2">
        <f>D2+60</f>
        <v>60</v>
      </c>
      <c r="F2" t="s">
        <v>2</v>
      </c>
      <c r="G2" s="7">
        <v>2</v>
      </c>
    </row>
    <row r="3" spans="1:7" ht="16" thickBot="1" x14ac:dyDescent="0.4">
      <c r="A3" s="3">
        <v>2</v>
      </c>
      <c r="B3" s="6">
        <v>59</v>
      </c>
      <c r="D3">
        <f>E2</f>
        <v>60</v>
      </c>
      <c r="E3">
        <f t="shared" ref="E3:E20" si="0">D3+60</f>
        <v>120</v>
      </c>
      <c r="F3" t="s">
        <v>2</v>
      </c>
      <c r="G3">
        <v>0</v>
      </c>
    </row>
    <row r="4" spans="1:7" ht="16" thickBot="1" x14ac:dyDescent="0.4">
      <c r="A4" s="3">
        <v>3</v>
      </c>
      <c r="B4" s="5">
        <v>133</v>
      </c>
      <c r="D4">
        <f t="shared" ref="D4:D20" si="1">E3</f>
        <v>120</v>
      </c>
      <c r="E4">
        <f t="shared" si="0"/>
        <v>180</v>
      </c>
      <c r="F4" t="s">
        <v>2</v>
      </c>
      <c r="G4" s="8">
        <v>2</v>
      </c>
    </row>
    <row r="5" spans="1:7" ht="16" thickBot="1" x14ac:dyDescent="0.4">
      <c r="A5" s="3">
        <v>4</v>
      </c>
      <c r="B5" s="5">
        <v>158</v>
      </c>
      <c r="D5">
        <f t="shared" si="1"/>
        <v>180</v>
      </c>
      <c r="E5">
        <f t="shared" si="0"/>
        <v>240</v>
      </c>
      <c r="F5" t="s">
        <v>2</v>
      </c>
      <c r="G5" s="10">
        <v>1</v>
      </c>
    </row>
    <row r="6" spans="1:7" ht="16" thickBot="1" x14ac:dyDescent="0.4">
      <c r="A6" s="3">
        <v>5</v>
      </c>
      <c r="B6" s="9">
        <v>185</v>
      </c>
      <c r="D6">
        <f t="shared" si="1"/>
        <v>240</v>
      </c>
      <c r="E6">
        <f t="shared" si="0"/>
        <v>300</v>
      </c>
      <c r="F6" t="s">
        <v>2</v>
      </c>
      <c r="G6" s="12">
        <v>2</v>
      </c>
    </row>
    <row r="7" spans="1:7" ht="16" thickBot="1" x14ac:dyDescent="0.4">
      <c r="A7" s="3">
        <v>6</v>
      </c>
      <c r="B7" s="11">
        <v>246</v>
      </c>
      <c r="D7">
        <f t="shared" si="1"/>
        <v>300</v>
      </c>
      <c r="E7">
        <f t="shared" si="0"/>
        <v>360</v>
      </c>
      <c r="F7" t="s">
        <v>2</v>
      </c>
      <c r="G7" s="14">
        <v>1</v>
      </c>
    </row>
    <row r="8" spans="1:7" ht="16" thickBot="1" x14ac:dyDescent="0.4">
      <c r="A8" s="3">
        <v>7</v>
      </c>
      <c r="B8" s="11">
        <v>295</v>
      </c>
      <c r="D8">
        <f t="shared" si="1"/>
        <v>360</v>
      </c>
      <c r="E8">
        <f t="shared" si="0"/>
        <v>420</v>
      </c>
      <c r="F8" t="s">
        <v>2</v>
      </c>
      <c r="G8" s="16">
        <v>2</v>
      </c>
    </row>
    <row r="9" spans="1:7" ht="16" thickBot="1" x14ac:dyDescent="0.4">
      <c r="A9" s="3">
        <v>8</v>
      </c>
      <c r="B9" s="13">
        <v>301</v>
      </c>
      <c r="D9">
        <f t="shared" si="1"/>
        <v>420</v>
      </c>
      <c r="E9">
        <f t="shared" si="0"/>
        <v>480</v>
      </c>
      <c r="F9" t="s">
        <v>2</v>
      </c>
      <c r="G9" s="18">
        <v>2</v>
      </c>
    </row>
    <row r="10" spans="1:7" ht="16" thickBot="1" x14ac:dyDescent="0.4">
      <c r="A10" s="3">
        <v>9</v>
      </c>
      <c r="B10" s="15">
        <v>377</v>
      </c>
      <c r="D10">
        <f t="shared" si="1"/>
        <v>480</v>
      </c>
      <c r="E10">
        <f t="shared" si="0"/>
        <v>540</v>
      </c>
      <c r="F10" t="s">
        <v>2</v>
      </c>
      <c r="G10" s="20">
        <v>1</v>
      </c>
    </row>
    <row r="11" spans="1:7" ht="16" thickBot="1" x14ac:dyDescent="0.4">
      <c r="A11" s="3">
        <v>10</v>
      </c>
      <c r="B11" s="15">
        <v>407</v>
      </c>
      <c r="D11">
        <f t="shared" si="1"/>
        <v>540</v>
      </c>
      <c r="E11">
        <f t="shared" si="0"/>
        <v>600</v>
      </c>
      <c r="F11" t="s">
        <v>2</v>
      </c>
      <c r="G11" s="22">
        <v>2</v>
      </c>
    </row>
    <row r="12" spans="1:7" ht="16" thickBot="1" x14ac:dyDescent="0.4">
      <c r="A12" s="3">
        <v>11</v>
      </c>
      <c r="B12" s="17">
        <v>430</v>
      </c>
      <c r="D12">
        <f t="shared" si="1"/>
        <v>600</v>
      </c>
      <c r="E12">
        <f t="shared" si="0"/>
        <v>660</v>
      </c>
      <c r="F12" t="s">
        <v>2</v>
      </c>
      <c r="G12" s="24">
        <v>3</v>
      </c>
    </row>
    <row r="13" spans="1:7" ht="16" thickBot="1" x14ac:dyDescent="0.4">
      <c r="A13" s="3">
        <v>12</v>
      </c>
      <c r="B13" s="17">
        <v>457</v>
      </c>
      <c r="D13">
        <f t="shared" si="1"/>
        <v>660</v>
      </c>
      <c r="E13">
        <f t="shared" si="0"/>
        <v>720</v>
      </c>
      <c r="F13" t="s">
        <v>2</v>
      </c>
      <c r="G13" s="26">
        <v>1</v>
      </c>
    </row>
    <row r="14" spans="1:7" ht="16" thickBot="1" x14ac:dyDescent="0.4">
      <c r="A14" s="3">
        <v>13</v>
      </c>
      <c r="B14" s="19">
        <v>525</v>
      </c>
      <c r="D14">
        <f t="shared" si="1"/>
        <v>720</v>
      </c>
      <c r="E14">
        <f t="shared" si="0"/>
        <v>780</v>
      </c>
      <c r="F14" t="s">
        <v>2</v>
      </c>
      <c r="G14" s="28">
        <v>2</v>
      </c>
    </row>
    <row r="15" spans="1:7" ht="16" thickBot="1" x14ac:dyDescent="0.4">
      <c r="A15" s="3">
        <v>14</v>
      </c>
      <c r="B15" s="21">
        <v>551</v>
      </c>
      <c r="D15">
        <f t="shared" si="1"/>
        <v>780</v>
      </c>
      <c r="E15">
        <f t="shared" si="0"/>
        <v>840</v>
      </c>
      <c r="F15" t="s">
        <v>2</v>
      </c>
      <c r="G15" s="30">
        <v>1</v>
      </c>
    </row>
    <row r="16" spans="1:7" ht="16" thickBot="1" x14ac:dyDescent="0.4">
      <c r="A16" s="3">
        <v>15</v>
      </c>
      <c r="B16" s="21">
        <v>564</v>
      </c>
      <c r="D16">
        <f t="shared" si="1"/>
        <v>840</v>
      </c>
      <c r="E16">
        <f t="shared" si="0"/>
        <v>900</v>
      </c>
      <c r="F16" t="s">
        <v>2</v>
      </c>
      <c r="G16" s="32">
        <v>1</v>
      </c>
    </row>
    <row r="17" spans="1:7" ht="16" thickBot="1" x14ac:dyDescent="0.4">
      <c r="A17" s="3">
        <v>16</v>
      </c>
      <c r="B17" s="23">
        <v>614</v>
      </c>
      <c r="D17">
        <f t="shared" si="1"/>
        <v>900</v>
      </c>
      <c r="E17">
        <f t="shared" si="0"/>
        <v>960</v>
      </c>
      <c r="F17" t="s">
        <v>2</v>
      </c>
      <c r="G17" s="34">
        <v>1</v>
      </c>
    </row>
    <row r="18" spans="1:7" ht="16" thickBot="1" x14ac:dyDescent="0.4">
      <c r="A18" s="3">
        <v>17</v>
      </c>
      <c r="B18" s="23">
        <v>644</v>
      </c>
      <c r="D18">
        <f t="shared" si="1"/>
        <v>960</v>
      </c>
      <c r="E18">
        <f t="shared" si="0"/>
        <v>1020</v>
      </c>
      <c r="F18" t="s">
        <v>2</v>
      </c>
    </row>
    <row r="19" spans="1:7" ht="16" thickBot="1" x14ac:dyDescent="0.4">
      <c r="A19" s="3">
        <v>18</v>
      </c>
      <c r="B19" s="23">
        <v>653</v>
      </c>
      <c r="D19">
        <f t="shared" si="1"/>
        <v>1020</v>
      </c>
      <c r="E19">
        <f t="shared" si="0"/>
        <v>1080</v>
      </c>
      <c r="F19" t="s">
        <v>2</v>
      </c>
    </row>
    <row r="20" spans="1:7" ht="16" thickBot="1" x14ac:dyDescent="0.4">
      <c r="A20" s="3">
        <v>19</v>
      </c>
      <c r="B20" s="25">
        <v>670</v>
      </c>
      <c r="D20">
        <f t="shared" si="1"/>
        <v>1080</v>
      </c>
      <c r="E20">
        <f t="shared" si="0"/>
        <v>1140</v>
      </c>
      <c r="F20" t="s">
        <v>2</v>
      </c>
    </row>
    <row r="21" spans="1:7" ht="16" thickBot="1" x14ac:dyDescent="0.4">
      <c r="A21" s="3">
        <v>20</v>
      </c>
      <c r="B21" s="27">
        <v>725</v>
      </c>
    </row>
    <row r="22" spans="1:7" ht="16" thickBot="1" x14ac:dyDescent="0.4">
      <c r="A22" s="3">
        <v>21</v>
      </c>
      <c r="B22" s="27">
        <v>759</v>
      </c>
    </row>
    <row r="23" spans="1:7" ht="16" thickBot="1" x14ac:dyDescent="0.4">
      <c r="A23" s="3">
        <v>22</v>
      </c>
      <c r="B23" s="29">
        <v>816</v>
      </c>
    </row>
    <row r="24" spans="1:7" ht="16" thickBot="1" x14ac:dyDescent="0.4">
      <c r="A24" s="3">
        <v>23</v>
      </c>
      <c r="B24" s="31">
        <v>853</v>
      </c>
    </row>
    <row r="25" spans="1:7" ht="16" thickBot="1" x14ac:dyDescent="0.4">
      <c r="A25" s="3">
        <v>24</v>
      </c>
      <c r="B25" s="33">
        <v>903</v>
      </c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E840-E598-4B91-A64C-6EF695C3659A}">
  <dimension ref="A1:G17"/>
  <sheetViews>
    <sheetView workbookViewId="0">
      <selection activeCell="B12" sqref="B12:B17"/>
    </sheetView>
  </sheetViews>
  <sheetFormatPr defaultRowHeight="14.5" x14ac:dyDescent="0.35"/>
  <sheetData>
    <row r="1" spans="1:7" ht="16" x14ac:dyDescent="0.4">
      <c r="A1" s="39" t="s">
        <v>5</v>
      </c>
      <c r="B1" s="40" t="s">
        <v>6</v>
      </c>
      <c r="C1" s="40" t="s">
        <v>7</v>
      </c>
      <c r="D1" s="40" t="s">
        <v>8</v>
      </c>
      <c r="E1" s="41" t="s">
        <v>9</v>
      </c>
    </row>
    <row r="2" spans="1:7" ht="16" x14ac:dyDescent="0.4">
      <c r="A2" s="35">
        <v>1</v>
      </c>
      <c r="B2" s="36">
        <f>DRAFT!G2</f>
        <v>2</v>
      </c>
      <c r="C2" s="36">
        <v>1</v>
      </c>
      <c r="D2" s="36">
        <v>1</v>
      </c>
      <c r="E2" s="37">
        <v>1</v>
      </c>
      <c r="G2" s="45" t="s">
        <v>10</v>
      </c>
    </row>
    <row r="3" spans="1:7" ht="16" x14ac:dyDescent="0.4">
      <c r="A3" s="35">
        <v>2</v>
      </c>
      <c r="B3" s="36">
        <f>DRAFT!G3</f>
        <v>0</v>
      </c>
      <c r="C3" s="36">
        <v>1</v>
      </c>
      <c r="D3" s="36">
        <v>1</v>
      </c>
      <c r="E3" s="37">
        <v>1</v>
      </c>
    </row>
    <row r="4" spans="1:7" ht="16" x14ac:dyDescent="0.4">
      <c r="A4" s="35">
        <v>3</v>
      </c>
      <c r="B4" s="36">
        <f>DRAFT!G4</f>
        <v>2</v>
      </c>
      <c r="C4" s="36">
        <v>1</v>
      </c>
      <c r="D4" s="36">
        <v>1</v>
      </c>
      <c r="E4" s="37">
        <v>1</v>
      </c>
    </row>
    <row r="5" spans="1:7" ht="16" x14ac:dyDescent="0.4">
      <c r="A5" s="35">
        <v>4</v>
      </c>
      <c r="B5" s="36">
        <f>DRAFT!G5</f>
        <v>1</v>
      </c>
      <c r="C5" s="36">
        <v>1</v>
      </c>
      <c r="D5" s="36">
        <v>1</v>
      </c>
      <c r="E5" s="37">
        <v>1</v>
      </c>
    </row>
    <row r="6" spans="1:7" ht="16" x14ac:dyDescent="0.4">
      <c r="A6" s="35">
        <v>5</v>
      </c>
      <c r="B6" s="36">
        <f>DRAFT!G6</f>
        <v>2</v>
      </c>
      <c r="C6" s="36">
        <v>1</v>
      </c>
      <c r="D6" s="36">
        <v>1</v>
      </c>
      <c r="E6" s="37">
        <v>1</v>
      </c>
    </row>
    <row r="7" spans="1:7" ht="16" x14ac:dyDescent="0.4">
      <c r="A7" s="35">
        <v>6</v>
      </c>
      <c r="B7" s="36">
        <f>DRAFT!G7</f>
        <v>1</v>
      </c>
      <c r="C7" s="36">
        <v>1</v>
      </c>
      <c r="D7" s="36">
        <v>1</v>
      </c>
      <c r="E7" s="37">
        <v>1</v>
      </c>
    </row>
    <row r="8" spans="1:7" ht="16" x14ac:dyDescent="0.4">
      <c r="A8" s="35">
        <v>7</v>
      </c>
      <c r="B8" s="36">
        <f>DRAFT!G8</f>
        <v>2</v>
      </c>
      <c r="C8" s="36">
        <v>1</v>
      </c>
      <c r="D8" s="36">
        <v>1</v>
      </c>
      <c r="E8" s="37">
        <v>1</v>
      </c>
    </row>
    <row r="9" spans="1:7" ht="16" x14ac:dyDescent="0.4">
      <c r="A9" s="35">
        <v>8</v>
      </c>
      <c r="B9" s="36">
        <f>DRAFT!G9</f>
        <v>2</v>
      </c>
      <c r="C9" s="36">
        <v>1</v>
      </c>
      <c r="D9" s="36">
        <v>1</v>
      </c>
      <c r="E9" s="37">
        <v>1</v>
      </c>
    </row>
    <row r="10" spans="1:7" ht="16" x14ac:dyDescent="0.4">
      <c r="A10" s="35">
        <v>9</v>
      </c>
      <c r="B10" s="36">
        <f>DRAFT!G10</f>
        <v>1</v>
      </c>
      <c r="C10" s="36">
        <v>1</v>
      </c>
      <c r="D10" s="36">
        <v>1</v>
      </c>
      <c r="E10" s="37">
        <v>1</v>
      </c>
    </row>
    <row r="11" spans="1:7" ht="16" x14ac:dyDescent="0.4">
      <c r="A11" s="35">
        <v>10</v>
      </c>
      <c r="B11" s="36">
        <f>DRAFT!G11</f>
        <v>2</v>
      </c>
      <c r="C11" s="36">
        <v>1</v>
      </c>
      <c r="D11" s="36">
        <v>1</v>
      </c>
      <c r="E11" s="37">
        <v>1</v>
      </c>
    </row>
    <row r="12" spans="1:7" ht="16" x14ac:dyDescent="0.4">
      <c r="A12" s="35">
        <v>11</v>
      </c>
      <c r="B12" s="36">
        <f>DRAFT!G12</f>
        <v>3</v>
      </c>
      <c r="C12" s="36">
        <v>1</v>
      </c>
      <c r="D12" s="36">
        <v>1</v>
      </c>
      <c r="E12" s="37">
        <v>1</v>
      </c>
    </row>
    <row r="13" spans="1:7" ht="16" x14ac:dyDescent="0.4">
      <c r="A13" s="35">
        <v>12</v>
      </c>
      <c r="B13" s="36">
        <f>DRAFT!G13</f>
        <v>1</v>
      </c>
      <c r="C13" s="36">
        <v>1</v>
      </c>
      <c r="D13" s="36">
        <v>1</v>
      </c>
      <c r="E13" s="37">
        <v>1</v>
      </c>
    </row>
    <row r="14" spans="1:7" ht="16" x14ac:dyDescent="0.4">
      <c r="A14" s="35">
        <v>13</v>
      </c>
      <c r="B14" s="36">
        <f>DRAFT!G14</f>
        <v>2</v>
      </c>
      <c r="C14" s="36">
        <v>1</v>
      </c>
      <c r="D14" s="36">
        <v>1</v>
      </c>
      <c r="E14" s="37">
        <v>1</v>
      </c>
    </row>
    <row r="15" spans="1:7" ht="16" x14ac:dyDescent="0.4">
      <c r="A15" s="35">
        <v>14</v>
      </c>
      <c r="B15" s="36">
        <f>DRAFT!G15</f>
        <v>1</v>
      </c>
      <c r="C15" s="36">
        <v>1</v>
      </c>
      <c r="D15" s="36">
        <v>1</v>
      </c>
      <c r="E15" s="37">
        <v>1</v>
      </c>
    </row>
    <row r="16" spans="1:7" ht="16" x14ac:dyDescent="0.4">
      <c r="A16" s="35">
        <v>15</v>
      </c>
      <c r="B16" s="36">
        <f>DRAFT!G16</f>
        <v>1</v>
      </c>
      <c r="C16" s="36">
        <v>1</v>
      </c>
      <c r="D16" s="36">
        <v>1</v>
      </c>
      <c r="E16" s="37">
        <v>1</v>
      </c>
    </row>
    <row r="17" spans="1:5" ht="16.5" thickBot="1" x14ac:dyDescent="0.45">
      <c r="A17" s="42">
        <v>16</v>
      </c>
      <c r="B17" s="38">
        <f>DRAFT!G17</f>
        <v>1</v>
      </c>
      <c r="C17" s="43">
        <v>1</v>
      </c>
      <c r="D17" s="43">
        <v>1</v>
      </c>
      <c r="E17" s="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4BE4-AE2B-4151-9CF7-8D1B602637A0}">
  <dimension ref="A1:M28"/>
  <sheetViews>
    <sheetView tabSelected="1" workbookViewId="0">
      <selection activeCell="P30" sqref="P30"/>
    </sheetView>
  </sheetViews>
  <sheetFormatPr defaultRowHeight="14.5" x14ac:dyDescent="0.35"/>
  <cols>
    <col min="1" max="1" width="13.26953125" bestFit="1" customWidth="1"/>
    <col min="2" max="2" width="19.26953125" bestFit="1" customWidth="1"/>
    <col min="3" max="3" width="17.90625" bestFit="1" customWidth="1"/>
    <col min="8" max="8" width="13" bestFit="1" customWidth="1"/>
    <col min="9" max="9" width="10.6328125" bestFit="1" customWidth="1"/>
    <col min="10" max="10" width="13" bestFit="1" customWidth="1"/>
    <col min="11" max="11" width="12.453125" bestFit="1" customWidth="1"/>
    <col min="12" max="12" width="11.36328125" bestFit="1" customWidth="1"/>
  </cols>
  <sheetData>
    <row r="1" spans="1:13" x14ac:dyDescent="0.35">
      <c r="A1" t="s">
        <v>0</v>
      </c>
      <c r="B1" t="s">
        <v>1</v>
      </c>
      <c r="C1" t="s">
        <v>11</v>
      </c>
      <c r="H1" t="s">
        <v>14</v>
      </c>
      <c r="I1" t="s">
        <v>15</v>
      </c>
      <c r="J1" t="s">
        <v>18</v>
      </c>
      <c r="K1" t="s">
        <v>16</v>
      </c>
      <c r="L1" t="s">
        <v>17</v>
      </c>
      <c r="M1" s="48" t="s">
        <v>20</v>
      </c>
    </row>
    <row r="2" spans="1:13" x14ac:dyDescent="0.35">
      <c r="A2">
        <v>1</v>
      </c>
      <c r="B2">
        <v>28</v>
      </c>
      <c r="C2">
        <f>B2</f>
        <v>28</v>
      </c>
      <c r="H2">
        <f>A17</f>
        <v>16</v>
      </c>
      <c r="I2">
        <f>B17</f>
        <v>614</v>
      </c>
      <c r="J2" s="47">
        <f>(I2/$E$28)/60</f>
        <v>3684</v>
      </c>
      <c r="K2" s="47">
        <f>(I2/(2*$E$28))/60</f>
        <v>1842</v>
      </c>
      <c r="L2" s="47">
        <f>(I2/($E$28/2))/60</f>
        <v>7368</v>
      </c>
    </row>
    <row r="3" spans="1:13" x14ac:dyDescent="0.35">
      <c r="A3">
        <v>2</v>
      </c>
      <c r="B3">
        <v>59</v>
      </c>
      <c r="C3">
        <f>B3-B2</f>
        <v>31</v>
      </c>
      <c r="H3">
        <f t="shared" ref="H3:H12" si="0">A18</f>
        <v>17</v>
      </c>
      <c r="I3">
        <f t="shared" ref="I3:I10" si="1">B18</f>
        <v>644</v>
      </c>
      <c r="J3" s="47">
        <f t="shared" ref="J3:J10" si="2">(I3/$E$28)/60</f>
        <v>3864</v>
      </c>
      <c r="K3" s="47">
        <f t="shared" ref="K3:K10" si="3">(I3/(2*$E$28))/60</f>
        <v>1932</v>
      </c>
      <c r="L3" s="47">
        <f t="shared" ref="L3:L10" si="4">(I3/($E$28/2))/60</f>
        <v>7728</v>
      </c>
    </row>
    <row r="4" spans="1:13" x14ac:dyDescent="0.35">
      <c r="A4">
        <v>3</v>
      </c>
      <c r="B4">
        <v>133</v>
      </c>
      <c r="C4">
        <f t="shared" ref="C4:C25" si="5">B4-B3</f>
        <v>74</v>
      </c>
      <c r="H4">
        <f t="shared" si="0"/>
        <v>18</v>
      </c>
      <c r="I4">
        <f t="shared" si="1"/>
        <v>653</v>
      </c>
      <c r="J4" s="47">
        <f t="shared" si="2"/>
        <v>3918</v>
      </c>
      <c r="K4" s="47">
        <f t="shared" si="3"/>
        <v>1959</v>
      </c>
      <c r="L4" s="47">
        <f t="shared" si="4"/>
        <v>7836</v>
      </c>
    </row>
    <row r="5" spans="1:13" x14ac:dyDescent="0.35">
      <c r="A5">
        <v>4</v>
      </c>
      <c r="B5">
        <v>158</v>
      </c>
      <c r="C5">
        <f t="shared" si="5"/>
        <v>25</v>
      </c>
      <c r="H5">
        <f t="shared" si="0"/>
        <v>19</v>
      </c>
      <c r="I5">
        <f t="shared" si="1"/>
        <v>670</v>
      </c>
      <c r="J5" s="47">
        <f t="shared" si="2"/>
        <v>4020</v>
      </c>
      <c r="K5" s="47">
        <f t="shared" si="3"/>
        <v>2010</v>
      </c>
      <c r="L5" s="47">
        <f t="shared" si="4"/>
        <v>8040</v>
      </c>
    </row>
    <row r="6" spans="1:13" x14ac:dyDescent="0.35">
      <c r="A6">
        <v>5</v>
      </c>
      <c r="B6">
        <v>185</v>
      </c>
      <c r="C6">
        <f t="shared" si="5"/>
        <v>27</v>
      </c>
      <c r="H6">
        <f t="shared" si="0"/>
        <v>20</v>
      </c>
      <c r="I6">
        <f t="shared" si="1"/>
        <v>725</v>
      </c>
      <c r="J6" s="47">
        <f t="shared" si="2"/>
        <v>4350</v>
      </c>
      <c r="K6" s="47">
        <f t="shared" si="3"/>
        <v>2175</v>
      </c>
      <c r="L6" s="47">
        <f t="shared" si="4"/>
        <v>8700</v>
      </c>
    </row>
    <row r="7" spans="1:13" x14ac:dyDescent="0.35">
      <c r="A7">
        <v>6</v>
      </c>
      <c r="B7">
        <v>246</v>
      </c>
      <c r="C7">
        <f t="shared" si="5"/>
        <v>61</v>
      </c>
      <c r="H7">
        <f t="shared" si="0"/>
        <v>21</v>
      </c>
      <c r="I7">
        <f t="shared" si="1"/>
        <v>759</v>
      </c>
      <c r="J7" s="47">
        <f t="shared" si="2"/>
        <v>4554</v>
      </c>
      <c r="K7" s="47">
        <f t="shared" si="3"/>
        <v>2277</v>
      </c>
      <c r="L7" s="47">
        <f t="shared" si="4"/>
        <v>9108</v>
      </c>
    </row>
    <row r="8" spans="1:13" x14ac:dyDescent="0.35">
      <c r="A8">
        <v>7</v>
      </c>
      <c r="B8">
        <v>295</v>
      </c>
      <c r="C8">
        <f t="shared" si="5"/>
        <v>49</v>
      </c>
      <c r="H8">
        <f t="shared" si="0"/>
        <v>22</v>
      </c>
      <c r="I8">
        <f t="shared" si="1"/>
        <v>816</v>
      </c>
      <c r="J8" s="47">
        <f t="shared" si="2"/>
        <v>4896</v>
      </c>
      <c r="K8" s="47">
        <f t="shared" si="3"/>
        <v>2448</v>
      </c>
      <c r="L8" s="47">
        <f t="shared" si="4"/>
        <v>9792</v>
      </c>
    </row>
    <row r="9" spans="1:13" x14ac:dyDescent="0.35">
      <c r="A9">
        <v>8</v>
      </c>
      <c r="B9">
        <v>301</v>
      </c>
      <c r="C9">
        <f t="shared" si="5"/>
        <v>6</v>
      </c>
      <c r="H9">
        <f t="shared" si="0"/>
        <v>23</v>
      </c>
      <c r="I9">
        <f t="shared" si="1"/>
        <v>853</v>
      </c>
      <c r="J9" s="47">
        <f t="shared" si="2"/>
        <v>5118</v>
      </c>
      <c r="K9" s="47">
        <f t="shared" si="3"/>
        <v>2559</v>
      </c>
      <c r="L9" s="47">
        <f t="shared" si="4"/>
        <v>10236</v>
      </c>
    </row>
    <row r="10" spans="1:13" x14ac:dyDescent="0.35">
      <c r="A10">
        <v>9</v>
      </c>
      <c r="B10">
        <v>377</v>
      </c>
      <c r="C10">
        <f t="shared" si="5"/>
        <v>76</v>
      </c>
      <c r="H10">
        <f t="shared" si="0"/>
        <v>24</v>
      </c>
      <c r="I10">
        <f t="shared" si="1"/>
        <v>903</v>
      </c>
      <c r="J10" s="47">
        <f t="shared" si="2"/>
        <v>5418</v>
      </c>
      <c r="K10" s="47">
        <f t="shared" si="3"/>
        <v>2709</v>
      </c>
      <c r="L10" s="47">
        <f t="shared" si="4"/>
        <v>10836</v>
      </c>
    </row>
    <row r="11" spans="1:13" x14ac:dyDescent="0.35">
      <c r="A11">
        <v>10</v>
      </c>
      <c r="B11">
        <v>407</v>
      </c>
      <c r="C11">
        <f t="shared" si="5"/>
        <v>30</v>
      </c>
      <c r="J11" s="47"/>
      <c r="K11" s="47"/>
      <c r="L11" s="47"/>
    </row>
    <row r="12" spans="1:13" x14ac:dyDescent="0.35">
      <c r="A12">
        <v>11</v>
      </c>
      <c r="B12">
        <v>430</v>
      </c>
      <c r="C12">
        <f t="shared" si="5"/>
        <v>23</v>
      </c>
    </row>
    <row r="13" spans="1:13" x14ac:dyDescent="0.35">
      <c r="A13">
        <v>12</v>
      </c>
      <c r="B13">
        <v>457</v>
      </c>
      <c r="C13">
        <f t="shared" si="5"/>
        <v>27</v>
      </c>
    </row>
    <row r="14" spans="1:13" x14ac:dyDescent="0.35">
      <c r="A14">
        <v>13</v>
      </c>
      <c r="B14">
        <v>525</v>
      </c>
      <c r="C14">
        <f t="shared" si="5"/>
        <v>68</v>
      </c>
    </row>
    <row r="15" spans="1:13" x14ac:dyDescent="0.35">
      <c r="A15">
        <v>14</v>
      </c>
      <c r="B15">
        <v>551</v>
      </c>
      <c r="C15">
        <f t="shared" si="5"/>
        <v>26</v>
      </c>
    </row>
    <row r="16" spans="1:13" x14ac:dyDescent="0.35">
      <c r="A16">
        <v>15</v>
      </c>
      <c r="B16">
        <v>564</v>
      </c>
      <c r="C16">
        <f t="shared" si="5"/>
        <v>13</v>
      </c>
      <c r="E16" t="s">
        <v>12</v>
      </c>
      <c r="F16" t="s">
        <v>13</v>
      </c>
    </row>
    <row r="17" spans="1:6" x14ac:dyDescent="0.35">
      <c r="A17" s="32">
        <v>16</v>
      </c>
      <c r="B17" s="32">
        <v>614</v>
      </c>
      <c r="C17" s="32">
        <f t="shared" si="5"/>
        <v>50</v>
      </c>
      <c r="E17">
        <f>SUM(C17:C25)/9</f>
        <v>37.666666666666664</v>
      </c>
      <c r="F17">
        <f t="shared" ref="F17:F25" si="6">1/C17</f>
        <v>0.02</v>
      </c>
    </row>
    <row r="18" spans="1:6" x14ac:dyDescent="0.35">
      <c r="A18" s="32">
        <v>17</v>
      </c>
      <c r="B18" s="32">
        <v>644</v>
      </c>
      <c r="C18" s="32">
        <f t="shared" si="5"/>
        <v>30</v>
      </c>
      <c r="F18">
        <f t="shared" si="6"/>
        <v>3.3333333333333333E-2</v>
      </c>
    </row>
    <row r="19" spans="1:6" x14ac:dyDescent="0.35">
      <c r="A19" s="32">
        <v>18</v>
      </c>
      <c r="B19" s="32">
        <v>653</v>
      </c>
      <c r="C19" s="32">
        <f t="shared" si="5"/>
        <v>9</v>
      </c>
      <c r="F19">
        <f t="shared" si="6"/>
        <v>0.1111111111111111</v>
      </c>
    </row>
    <row r="20" spans="1:6" x14ac:dyDescent="0.35">
      <c r="A20" s="32">
        <v>19</v>
      </c>
      <c r="B20" s="32">
        <v>670</v>
      </c>
      <c r="C20" s="32">
        <f t="shared" si="5"/>
        <v>17</v>
      </c>
      <c r="F20">
        <f t="shared" si="6"/>
        <v>5.8823529411764705E-2</v>
      </c>
    </row>
    <row r="21" spans="1:6" x14ac:dyDescent="0.35">
      <c r="A21" s="32">
        <v>20</v>
      </c>
      <c r="B21" s="32">
        <v>725</v>
      </c>
      <c r="C21" s="32">
        <f t="shared" si="5"/>
        <v>55</v>
      </c>
      <c r="F21">
        <f t="shared" si="6"/>
        <v>1.8181818181818181E-2</v>
      </c>
    </row>
    <row r="22" spans="1:6" x14ac:dyDescent="0.35">
      <c r="A22" s="32">
        <v>21</v>
      </c>
      <c r="B22" s="32">
        <v>759</v>
      </c>
      <c r="C22" s="32">
        <f t="shared" si="5"/>
        <v>34</v>
      </c>
      <c r="F22">
        <f t="shared" si="6"/>
        <v>2.9411764705882353E-2</v>
      </c>
    </row>
    <row r="23" spans="1:6" x14ac:dyDescent="0.35">
      <c r="A23" s="32">
        <v>22</v>
      </c>
      <c r="B23" s="32">
        <v>816</v>
      </c>
      <c r="C23" s="32">
        <f t="shared" si="5"/>
        <v>57</v>
      </c>
      <c r="F23">
        <f t="shared" si="6"/>
        <v>1.7543859649122806E-2</v>
      </c>
    </row>
    <row r="24" spans="1:6" x14ac:dyDescent="0.35">
      <c r="A24" s="32">
        <v>23</v>
      </c>
      <c r="B24" s="32">
        <v>853</v>
      </c>
      <c r="C24" s="32">
        <f t="shared" si="5"/>
        <v>37</v>
      </c>
      <c r="F24">
        <f t="shared" si="6"/>
        <v>2.7027027027027029E-2</v>
      </c>
    </row>
    <row r="25" spans="1:6" x14ac:dyDescent="0.35">
      <c r="A25" s="32">
        <v>24</v>
      </c>
      <c r="B25" s="32">
        <v>903</v>
      </c>
      <c r="C25" s="32">
        <f t="shared" si="5"/>
        <v>50</v>
      </c>
      <c r="F25">
        <f t="shared" si="6"/>
        <v>0.02</v>
      </c>
    </row>
    <row r="27" spans="1:6" x14ac:dyDescent="0.35">
      <c r="E27" t="s">
        <v>19</v>
      </c>
    </row>
    <row r="28" spans="1:6" x14ac:dyDescent="0.35">
      <c r="E28">
        <f>1/360</f>
        <v>2.7777777777777779E-3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</vt:lpstr>
      <vt:lpstr>FORMATTED DATA</vt:lpstr>
      <vt:lpstr>RDC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Zhang</dc:creator>
  <cp:lastModifiedBy>Jane Zhang</cp:lastModifiedBy>
  <dcterms:created xsi:type="dcterms:W3CDTF">2026-04-02T17:35:33Z</dcterms:created>
  <dcterms:modified xsi:type="dcterms:W3CDTF">2026-04-03T06:17:26Z</dcterms:modified>
</cp:coreProperties>
</file>